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lbertoarturoluigicarimati/Desktop/isophthalic_plant/"/>
    </mc:Choice>
  </mc:AlternateContent>
  <xr:revisionPtr revIDLastSave="0" documentId="13_ncr:1_{C2D3693E-1B7A-5E4B-928E-28A394246760}" xr6:coauthVersionLast="47" xr6:coauthVersionMax="47" xr10:uidLastSave="{00000000-0000-0000-0000-000000000000}"/>
  <bookViews>
    <workbookView xWindow="2600" yWindow="1680" windowWidth="27640" windowHeight="16940" xr2:uid="{13326895-1A6A-454E-85F8-1C3C44DCA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3" i="1"/>
  <c r="N4" i="1"/>
  <c r="N5" i="1"/>
  <c r="N6" i="1"/>
  <c r="N7" i="1"/>
  <c r="N8" i="1"/>
  <c r="N9" i="1"/>
  <c r="N10" i="1"/>
  <c r="N11" i="1"/>
  <c r="N12" i="1"/>
  <c r="N3" i="1"/>
  <c r="M7" i="1"/>
  <c r="M8" i="1"/>
  <c r="M9" i="1"/>
  <c r="M10" i="1"/>
  <c r="M11" i="1"/>
  <c r="M12" i="1"/>
  <c r="M6" i="1"/>
  <c r="L7" i="1"/>
  <c r="L6" i="1"/>
  <c r="B29" i="1"/>
  <c r="M19" i="1"/>
  <c r="L14" i="1"/>
  <c r="M13" i="1"/>
  <c r="M5" i="1"/>
  <c r="M4" i="1"/>
  <c r="N14" i="1"/>
  <c r="M3" i="1"/>
  <c r="M14" i="1" s="1"/>
  <c r="F22" i="1"/>
  <c r="B30" i="1"/>
  <c r="B31" i="1"/>
  <c r="G6" i="1"/>
  <c r="G7" i="1"/>
  <c r="J4" i="1"/>
  <c r="J5" i="1"/>
  <c r="J6" i="1"/>
  <c r="J7" i="1"/>
  <c r="J8" i="1"/>
  <c r="J9" i="1"/>
  <c r="J10" i="1"/>
  <c r="J11" i="1"/>
  <c r="J12" i="1"/>
  <c r="J3" i="1"/>
  <c r="H14" i="1"/>
  <c r="I7" i="1" s="1"/>
  <c r="C14" i="1"/>
  <c r="D5" i="1" s="1"/>
  <c r="E4" i="1"/>
  <c r="E5" i="1"/>
  <c r="E6" i="1"/>
  <c r="E7" i="1"/>
  <c r="E8" i="1"/>
  <c r="E9" i="1"/>
  <c r="E10" i="1"/>
  <c r="E11" i="1"/>
  <c r="E12" i="1"/>
  <c r="E3" i="1"/>
  <c r="O14" i="1" l="1"/>
  <c r="D8" i="1"/>
  <c r="D9" i="1"/>
  <c r="D4" i="1"/>
  <c r="D7" i="1"/>
  <c r="E14" i="1"/>
  <c r="F6" i="1" s="1"/>
  <c r="B24" i="1" s="1"/>
  <c r="B32" i="1"/>
  <c r="F9" i="1"/>
  <c r="F13" i="1"/>
  <c r="F3" i="1"/>
  <c r="F12" i="1"/>
  <c r="I6" i="1"/>
  <c r="I5" i="1"/>
  <c r="I4" i="1"/>
  <c r="I13" i="1"/>
  <c r="I12" i="1"/>
  <c r="I10" i="1"/>
  <c r="D12" i="1"/>
  <c r="I9" i="1"/>
  <c r="I3" i="1"/>
  <c r="D11" i="1"/>
  <c r="I8" i="1"/>
  <c r="D3" i="1"/>
  <c r="I11" i="1"/>
  <c r="D13" i="1"/>
  <c r="D10" i="1"/>
  <c r="J14" i="1"/>
  <c r="B22" i="1" s="1"/>
  <c r="D22" i="1" s="1"/>
  <c r="D6" i="1"/>
  <c r="F10" i="1" l="1"/>
  <c r="F11" i="1"/>
  <c r="F4" i="1"/>
  <c r="F5" i="1"/>
  <c r="F7" i="1"/>
  <c r="B23" i="1" s="1"/>
  <c r="B25" i="1" s="1"/>
  <c r="K6" i="1"/>
  <c r="F8" i="1"/>
  <c r="D14" i="1"/>
  <c r="K7" i="1"/>
  <c r="K8" i="1"/>
  <c r="K10" i="1"/>
  <c r="K11" i="1"/>
  <c r="K12" i="1"/>
  <c r="K13" i="1"/>
  <c r="K3" i="1"/>
  <c r="K9" i="1"/>
  <c r="K4" i="1"/>
  <c r="F14" i="1"/>
  <c r="K5" i="1"/>
  <c r="B27" i="1" l="1"/>
  <c r="B26" i="1"/>
  <c r="K14" i="1"/>
  <c r="I14" i="1"/>
  <c r="C26" i="1" l="1"/>
  <c r="D24" i="1"/>
  <c r="C27" i="1"/>
  <c r="B33" i="1" s="1"/>
  <c r="D23" i="1"/>
  <c r="D25" i="1" l="1"/>
  <c r="D27" i="1" s="1"/>
  <c r="E27" i="1" s="1"/>
  <c r="D26" i="1"/>
  <c r="F24" i="1" l="1"/>
  <c r="E26" i="1"/>
  <c r="B34" i="1" s="1"/>
  <c r="F23" i="1"/>
  <c r="F25" i="1" s="1"/>
  <c r="F26" i="1" s="1"/>
  <c r="G26" i="1" s="1"/>
  <c r="F27" i="1" l="1"/>
  <c r="G27" i="1" s="1"/>
  <c r="B35" i="1"/>
  <c r="B36" i="1" s="1"/>
</calcChain>
</file>

<file path=xl/sharedStrings.xml><?xml version="1.0" encoding="utf-8"?>
<sst xmlns="http://schemas.openxmlformats.org/spreadsheetml/2006/main" count="55" uniqueCount="46">
  <si>
    <t xml:space="preserve"> </t>
  </si>
  <si>
    <t>MW</t>
  </si>
  <si>
    <t>PIA 59</t>
  </si>
  <si>
    <t>3CBA</t>
  </si>
  <si>
    <t>MTA</t>
  </si>
  <si>
    <t>Acetic acid</t>
  </si>
  <si>
    <t>Water</t>
  </si>
  <si>
    <t>M-Xylene</t>
  </si>
  <si>
    <t>Oxygen</t>
  </si>
  <si>
    <t>Nitrogen</t>
  </si>
  <si>
    <t>CO2</t>
  </si>
  <si>
    <t>CO</t>
  </si>
  <si>
    <t>Total (kg/h)</t>
  </si>
  <si>
    <t>Pressure (bara)</t>
  </si>
  <si>
    <t>Temperature (C)</t>
  </si>
  <si>
    <t>Reactor Feed</t>
  </si>
  <si>
    <t>Kg/h</t>
  </si>
  <si>
    <t>% mass</t>
  </si>
  <si>
    <t>mol %</t>
  </si>
  <si>
    <t>Kmol/h</t>
  </si>
  <si>
    <t>Air Feed</t>
  </si>
  <si>
    <t>Pv</t>
  </si>
  <si>
    <t>T</t>
  </si>
  <si>
    <t>P</t>
  </si>
  <si>
    <t>inc</t>
  </si>
  <si>
    <t>N tot</t>
  </si>
  <si>
    <t>Pv/P (water) x xi</t>
  </si>
  <si>
    <t>Pv/P (Acetic Acid) x xi</t>
  </si>
  <si>
    <t>HAC</t>
  </si>
  <si>
    <t>Heat of reaction</t>
  </si>
  <si>
    <t>Feed in</t>
  </si>
  <si>
    <t>Air in</t>
  </si>
  <si>
    <t>Evaporation</t>
  </si>
  <si>
    <t>Total heat</t>
  </si>
  <si>
    <t>HAC combustion</t>
  </si>
  <si>
    <t>Reactor</t>
  </si>
  <si>
    <t>E3101</t>
  </si>
  <si>
    <t>From E3101</t>
  </si>
  <si>
    <t>E3102</t>
  </si>
  <si>
    <t>FromE3102</t>
  </si>
  <si>
    <t>DH PIA</t>
  </si>
  <si>
    <t>kcal/mol</t>
  </si>
  <si>
    <t>Oxygen in Off gas</t>
  </si>
  <si>
    <t>Reflux E3102</t>
  </si>
  <si>
    <t>Reflux E3101</t>
  </si>
  <si>
    <t>To E3101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</si>
</sst>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name val="Verdana"/>
      <family val="2"/>
    </font>
    <font>
      <sz val="8"/>
      <name val="Verdana"/>
      <family val="2"/>
    </font>
    <font>
      <sz val="9"/>
      <name val="Verdana"/>
      <family val="2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1" xfId="0" applyFont="1" applyFill="1" applyBorder="1"/>
    <xf numFmtId="0" fontId="2" fillId="3" borderId="0" xfId="0" applyFont="1" applyFill="1"/>
    <xf numFmtId="0" fontId="0" fillId="2" borderId="0" xfId="0" applyFill="1"/>
    <xf numFmtId="0" fontId="0" fillId="2" borderId="2" xfId="0" applyFill="1" applyBorder="1"/>
    <xf numFmtId="4" fontId="4" fillId="4" borderId="1" xfId="0" applyNumberFormat="1" applyFont="1" applyFill="1" applyBorder="1"/>
    <xf numFmtId="4" fontId="4" fillId="4" borderId="0" xfId="0" applyNumberFormat="1" applyFont="1" applyFill="1"/>
    <xf numFmtId="4" fontId="4" fillId="0" borderId="1" xfId="0" applyNumberFormat="1" applyFont="1" applyBorder="1"/>
    <xf numFmtId="4" fontId="4" fillId="0" borderId="3" xfId="0" applyNumberFormat="1" applyFont="1" applyBorder="1"/>
    <xf numFmtId="0" fontId="2" fillId="0" borderId="0" xfId="0" applyFont="1"/>
    <xf numFmtId="4" fontId="4" fillId="0" borderId="0" xfId="0" applyNumberFormat="1" applyFont="1"/>
    <xf numFmtId="0" fontId="0" fillId="0" borderId="0" xfId="0" applyAlignment="1">
      <alignment horizontal="center"/>
    </xf>
    <xf numFmtId="4" fontId="3" fillId="0" borderId="0" xfId="0" applyNumberFormat="1" applyFont="1" applyAlignment="1">
      <alignment horizontal="center"/>
    </xf>
    <xf numFmtId="9" fontId="4" fillId="4" borderId="1" xfId="2" applyFont="1" applyFill="1" applyBorder="1"/>
    <xf numFmtId="4" fontId="4" fillId="0" borderId="0" xfId="0" applyNumberFormat="1" applyFont="1" applyAlignment="1">
      <alignment horizontal="center"/>
    </xf>
    <xf numFmtId="0" fontId="0" fillId="2" borderId="2" xfId="0" applyFill="1" applyBorder="1" applyAlignment="1">
      <alignment horizontal="right"/>
    </xf>
    <xf numFmtId="4" fontId="3" fillId="0" borderId="1" xfId="0" applyNumberFormat="1" applyFont="1" applyBorder="1" applyAlignment="1">
      <alignment horizontal="center"/>
    </xf>
    <xf numFmtId="9" fontId="3" fillId="0" borderId="1" xfId="2" applyFont="1" applyFill="1" applyBorder="1" applyAlignment="1">
      <alignment horizontal="center"/>
    </xf>
    <xf numFmtId="9" fontId="4" fillId="4" borderId="3" xfId="2" applyFont="1" applyFill="1" applyBorder="1"/>
    <xf numFmtId="4" fontId="3" fillId="0" borderId="3" xfId="0" applyNumberFormat="1" applyFont="1" applyBorder="1" applyAlignment="1">
      <alignment horizontal="center"/>
    </xf>
    <xf numFmtId="9" fontId="3" fillId="0" borderId="3" xfId="2" applyFont="1" applyFill="1" applyBorder="1" applyAlignment="1">
      <alignment horizontal="center"/>
    </xf>
    <xf numFmtId="0" fontId="5" fillId="0" borderId="1" xfId="0" applyFont="1" applyBorder="1"/>
    <xf numFmtId="2" fontId="3" fillId="0" borderId="1" xfId="2" applyNumberFormat="1" applyFont="1" applyFill="1" applyBorder="1" applyAlignment="1">
      <alignment horizontal="center"/>
    </xf>
    <xf numFmtId="2" fontId="3" fillId="0" borderId="0" xfId="2" applyNumberFormat="1" applyFont="1" applyFill="1" applyBorder="1" applyAlignment="1">
      <alignment horizontal="center"/>
    </xf>
    <xf numFmtId="2" fontId="3" fillId="0" borderId="3" xfId="2" applyNumberFormat="1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43" fontId="0" fillId="0" borderId="0" xfId="1" applyFont="1" applyFill="1" applyBorder="1"/>
    <xf numFmtId="43" fontId="0" fillId="0" borderId="0" xfId="0" applyNumberForma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593E-8DCB-DB4F-8B5D-1523C4772B55}">
  <sheetPr codeName="Sheet1"/>
  <dimension ref="A1:O38"/>
  <sheetViews>
    <sheetView tabSelected="1" workbookViewId="0">
      <selection activeCell="J24" sqref="J24"/>
    </sheetView>
  </sheetViews>
  <sheetFormatPr baseColWidth="10" defaultRowHeight="16" x14ac:dyDescent="0.2"/>
  <cols>
    <col min="1" max="1" width="21.6640625" customWidth="1"/>
    <col min="2" max="2" width="15.5" customWidth="1"/>
    <col min="3" max="3" width="12" bestFit="1" customWidth="1"/>
  </cols>
  <sheetData>
    <row r="1" spans="1:15" x14ac:dyDescent="0.2">
      <c r="C1" t="s">
        <v>15</v>
      </c>
      <c r="H1" t="s">
        <v>20</v>
      </c>
      <c r="L1" t="s">
        <v>45</v>
      </c>
    </row>
    <row r="2" spans="1:15" x14ac:dyDescent="0.2">
      <c r="A2" t="s">
        <v>0</v>
      </c>
      <c r="B2" s="1" t="s">
        <v>1</v>
      </c>
      <c r="C2" s="22" t="s">
        <v>16</v>
      </c>
      <c r="D2" s="22" t="s">
        <v>17</v>
      </c>
      <c r="E2" s="22" t="s">
        <v>19</v>
      </c>
      <c r="F2" s="22" t="s">
        <v>18</v>
      </c>
      <c r="G2" s="22" t="s">
        <v>21</v>
      </c>
      <c r="H2" s="22" t="s">
        <v>16</v>
      </c>
      <c r="I2" s="22" t="s">
        <v>17</v>
      </c>
      <c r="J2" s="22" t="s">
        <v>19</v>
      </c>
      <c r="K2" s="22" t="s">
        <v>18</v>
      </c>
      <c r="L2" s="22" t="s">
        <v>16</v>
      </c>
      <c r="M2" s="22" t="s">
        <v>17</v>
      </c>
      <c r="N2" s="22" t="s">
        <v>19</v>
      </c>
      <c r="O2" s="22" t="s">
        <v>18</v>
      </c>
    </row>
    <row r="3" spans="1:15" x14ac:dyDescent="0.2">
      <c r="A3" s="2" t="s">
        <v>2</v>
      </c>
      <c r="B3" s="16">
        <v>166</v>
      </c>
      <c r="C3" s="6">
        <v>354.64398164398153</v>
      </c>
      <c r="D3" s="14">
        <f>C3/$C$14</f>
        <v>7.9365079365079361E-3</v>
      </c>
      <c r="E3" s="17">
        <f>C3/B3</f>
        <v>2.1364095279757924</v>
      </c>
      <c r="F3" s="18">
        <f>E3/$E$14</f>
        <v>2.6441297517209444E-3</v>
      </c>
      <c r="G3" s="23"/>
      <c r="H3" s="6"/>
      <c r="I3" s="14">
        <f>H3/$H$14</f>
        <v>0</v>
      </c>
      <c r="J3" s="17">
        <f t="shared" ref="J3:J12" si="0">H3/B3</f>
        <v>0</v>
      </c>
      <c r="K3" s="18">
        <f>J3/$J$14</f>
        <v>0</v>
      </c>
      <c r="L3" s="6"/>
      <c r="M3" s="14">
        <f>L3/$H$14</f>
        <v>0</v>
      </c>
      <c r="N3" s="17">
        <f>L3/B3</f>
        <v>0</v>
      </c>
      <c r="O3" s="18">
        <f>N3/$N$14</f>
        <v>0</v>
      </c>
    </row>
    <row r="4" spans="1:15" x14ac:dyDescent="0.2">
      <c r="A4" s="2" t="s">
        <v>3</v>
      </c>
      <c r="B4" s="16">
        <v>150</v>
      </c>
      <c r="C4" s="6"/>
      <c r="D4" s="14">
        <f t="shared" ref="D4:D13" si="1">C4/$C$14</f>
        <v>0</v>
      </c>
      <c r="E4" s="17">
        <f t="shared" ref="E4:E12" si="2">C4/B4</f>
        <v>0</v>
      </c>
      <c r="F4" s="18">
        <f t="shared" ref="F4:F13" si="3">E4/$E$14</f>
        <v>0</v>
      </c>
      <c r="G4" s="23"/>
      <c r="H4" s="6"/>
      <c r="I4" s="14">
        <f t="shared" ref="I4:I13" si="4">H4/$H$14</f>
        <v>0</v>
      </c>
      <c r="J4" s="17">
        <f t="shared" si="0"/>
        <v>0</v>
      </c>
      <c r="K4" s="18">
        <f t="shared" ref="K4:K13" si="5">J4/$J$14</f>
        <v>0</v>
      </c>
      <c r="L4" s="6"/>
      <c r="M4" s="14">
        <f t="shared" ref="M4:M13" si="6">L4/$H$14</f>
        <v>0</v>
      </c>
      <c r="N4" s="17">
        <f t="shared" ref="N4:N12" si="7">L4/B4</f>
        <v>0</v>
      </c>
      <c r="O4" s="18">
        <f t="shared" ref="O4:O13" si="8">N4/$N$14</f>
        <v>0</v>
      </c>
    </row>
    <row r="5" spans="1:15" x14ac:dyDescent="0.2">
      <c r="A5" s="2" t="s">
        <v>4</v>
      </c>
      <c r="B5" s="16">
        <v>136</v>
      </c>
      <c r="C5" s="6"/>
      <c r="D5" s="14">
        <f t="shared" si="1"/>
        <v>0</v>
      </c>
      <c r="E5" s="17">
        <f t="shared" si="2"/>
        <v>0</v>
      </c>
      <c r="F5" s="18">
        <f t="shared" si="3"/>
        <v>0</v>
      </c>
      <c r="G5" s="23"/>
      <c r="H5" s="6"/>
      <c r="I5" s="14">
        <f t="shared" si="4"/>
        <v>0</v>
      </c>
      <c r="J5" s="17">
        <f t="shared" si="0"/>
        <v>0</v>
      </c>
      <c r="K5" s="18">
        <f t="shared" si="5"/>
        <v>0</v>
      </c>
      <c r="L5" s="6"/>
      <c r="M5" s="14">
        <f t="shared" si="6"/>
        <v>0</v>
      </c>
      <c r="N5" s="17">
        <f t="shared" si="7"/>
        <v>0</v>
      </c>
      <c r="O5" s="18">
        <f t="shared" si="8"/>
        <v>0</v>
      </c>
    </row>
    <row r="6" spans="1:15" x14ac:dyDescent="0.2">
      <c r="A6" s="2" t="s">
        <v>5</v>
      </c>
      <c r="B6" s="5">
        <v>60</v>
      </c>
      <c r="C6" s="6">
        <v>36213.13613938613</v>
      </c>
      <c r="D6" s="14">
        <f t="shared" si="1"/>
        <v>0.81040665357913821</v>
      </c>
      <c r="E6" s="17">
        <f t="shared" si="2"/>
        <v>603.55226898976878</v>
      </c>
      <c r="F6" s="18">
        <f t="shared" si="3"/>
        <v>0.7469871718212131</v>
      </c>
      <c r="G6" s="23">
        <f>(EXP(19.32-(5495/(C16+314.75))))/760</f>
        <v>0.13856341717119544</v>
      </c>
      <c r="H6" s="6">
        <v>0</v>
      </c>
      <c r="I6" s="14">
        <f t="shared" si="4"/>
        <v>0</v>
      </c>
      <c r="J6" s="17">
        <f t="shared" si="0"/>
        <v>0</v>
      </c>
      <c r="K6" s="18">
        <f t="shared" si="5"/>
        <v>0</v>
      </c>
      <c r="L6" s="6">
        <f>C26</f>
        <v>69640.707298630979</v>
      </c>
      <c r="M6" s="14">
        <f>L6/$L$14</f>
        <v>0.64627964907574298</v>
      </c>
      <c r="N6" s="17">
        <f t="shared" si="7"/>
        <v>1160.678454977183</v>
      </c>
      <c r="O6" s="18">
        <f t="shared" si="8"/>
        <v>0.42779309852256536</v>
      </c>
    </row>
    <row r="7" spans="1:15" x14ac:dyDescent="0.2">
      <c r="A7" s="2" t="s">
        <v>6</v>
      </c>
      <c r="B7" s="5">
        <v>18</v>
      </c>
      <c r="C7" s="6">
        <v>2725.7199244699245</v>
      </c>
      <c r="D7" s="14">
        <f t="shared" si="1"/>
        <v>6.0998350269397518E-2</v>
      </c>
      <c r="E7" s="17">
        <f t="shared" si="2"/>
        <v>151.42888469277358</v>
      </c>
      <c r="F7" s="18">
        <f t="shared" si="3"/>
        <v>0.18741613629922915</v>
      </c>
      <c r="G7" s="23">
        <f>(EXP((18.36-(3840.96/(C16+228.3))))/760)</f>
        <v>0.20268399352192051</v>
      </c>
      <c r="H7" s="6">
        <v>135.30518331006297</v>
      </c>
      <c r="I7" s="14">
        <f t="shared" si="4"/>
        <v>4.9751243781094535E-3</v>
      </c>
      <c r="J7" s="17">
        <f t="shared" si="0"/>
        <v>7.5169546283368316</v>
      </c>
      <c r="K7" s="18">
        <f t="shared" si="5"/>
        <v>7.9471049471107214E-3</v>
      </c>
      <c r="L7" s="6">
        <f>C27</f>
        <v>11054.561530679744</v>
      </c>
      <c r="M7" s="14">
        <f t="shared" ref="M7:M12" si="9">L7/$L$14</f>
        <v>0.10258853512354202</v>
      </c>
      <c r="N7" s="17">
        <f t="shared" si="7"/>
        <v>614.14230725998584</v>
      </c>
      <c r="O7" s="18">
        <f t="shared" si="8"/>
        <v>0.22635540397078491</v>
      </c>
    </row>
    <row r="8" spans="1:15" x14ac:dyDescent="0.2">
      <c r="A8" s="2" t="s">
        <v>7</v>
      </c>
      <c r="B8" s="5">
        <v>106</v>
      </c>
      <c r="C8" s="6">
        <v>5391.6416416416414</v>
      </c>
      <c r="D8" s="14">
        <f t="shared" si="1"/>
        <v>0.12065848821495642</v>
      </c>
      <c r="E8" s="17">
        <f t="shared" si="2"/>
        <v>50.864543789072087</v>
      </c>
      <c r="F8" s="18">
        <f t="shared" si="3"/>
        <v>6.2952562127836675E-2</v>
      </c>
      <c r="G8" s="24"/>
      <c r="H8" s="7">
        <v>0</v>
      </c>
      <c r="I8" s="14">
        <f t="shared" si="4"/>
        <v>0</v>
      </c>
      <c r="J8" s="17">
        <f t="shared" si="0"/>
        <v>0</v>
      </c>
      <c r="K8" s="18">
        <f t="shared" si="5"/>
        <v>0</v>
      </c>
      <c r="L8" s="7">
        <v>0</v>
      </c>
      <c r="M8" s="14">
        <f t="shared" si="9"/>
        <v>0</v>
      </c>
      <c r="N8" s="17">
        <f t="shared" si="7"/>
        <v>0</v>
      </c>
      <c r="O8" s="18">
        <f t="shared" si="8"/>
        <v>0</v>
      </c>
    </row>
    <row r="9" spans="1:15" x14ac:dyDescent="0.2">
      <c r="A9" s="2" t="s">
        <v>8</v>
      </c>
      <c r="B9" s="5">
        <v>32</v>
      </c>
      <c r="C9" s="8"/>
      <c r="D9" s="14">
        <f t="shared" si="1"/>
        <v>0</v>
      </c>
      <c r="E9" s="17">
        <f t="shared" si="2"/>
        <v>0</v>
      </c>
      <c r="F9" s="18">
        <f t="shared" si="3"/>
        <v>0</v>
      </c>
      <c r="G9" s="23"/>
      <c r="H9" s="6">
        <v>6217.8206116512447</v>
      </c>
      <c r="I9" s="14">
        <f t="shared" si="4"/>
        <v>0.22862709429873609</v>
      </c>
      <c r="J9" s="17">
        <f t="shared" si="0"/>
        <v>194.3068941141014</v>
      </c>
      <c r="K9" s="18">
        <f t="shared" si="5"/>
        <v>0.20542591459189802</v>
      </c>
      <c r="L9" s="6">
        <v>6217.8206116512447</v>
      </c>
      <c r="M9" s="14">
        <f t="shared" si="9"/>
        <v>5.770261501914533E-2</v>
      </c>
      <c r="N9" s="17">
        <f t="shared" si="7"/>
        <v>194.3068941141014</v>
      </c>
      <c r="O9" s="18">
        <f t="shared" si="8"/>
        <v>7.1616000056623358E-2</v>
      </c>
    </row>
    <row r="10" spans="1:15" x14ac:dyDescent="0.2">
      <c r="A10" s="2" t="s">
        <v>9</v>
      </c>
      <c r="B10" s="5">
        <v>28</v>
      </c>
      <c r="C10" s="8"/>
      <c r="D10" s="14">
        <f t="shared" si="1"/>
        <v>0</v>
      </c>
      <c r="E10" s="17">
        <f t="shared" si="2"/>
        <v>0</v>
      </c>
      <c r="F10" s="18">
        <f t="shared" si="3"/>
        <v>0</v>
      </c>
      <c r="G10" s="23"/>
      <c r="H10" s="6">
        <v>20816.182047701994</v>
      </c>
      <c r="I10" s="14">
        <f t="shared" si="4"/>
        <v>0.76540375047837739</v>
      </c>
      <c r="J10" s="17">
        <f t="shared" si="0"/>
        <v>743.43507313221403</v>
      </c>
      <c r="K10" s="18">
        <f t="shared" si="5"/>
        <v>0.78597741235160978</v>
      </c>
      <c r="L10" s="6">
        <v>20816.182047701994</v>
      </c>
      <c r="M10" s="14">
        <f t="shared" si="9"/>
        <v>0.19317831984670394</v>
      </c>
      <c r="N10" s="17">
        <f t="shared" si="7"/>
        <v>743.43507313221403</v>
      </c>
      <c r="O10" s="18">
        <f t="shared" si="8"/>
        <v>0.27400904369490675</v>
      </c>
    </row>
    <row r="11" spans="1:15" x14ac:dyDescent="0.2">
      <c r="A11" s="2" t="s">
        <v>10</v>
      </c>
      <c r="B11" s="5">
        <v>44</v>
      </c>
      <c r="C11" s="8"/>
      <c r="D11" s="14">
        <f t="shared" si="1"/>
        <v>0</v>
      </c>
      <c r="E11" s="17">
        <f t="shared" si="2"/>
        <v>0</v>
      </c>
      <c r="F11" s="18">
        <f t="shared" si="3"/>
        <v>0</v>
      </c>
      <c r="G11" s="23"/>
      <c r="H11" s="6">
        <v>27.034002659353238</v>
      </c>
      <c r="I11" s="14">
        <f t="shared" si="4"/>
        <v>9.9403084477711341E-4</v>
      </c>
      <c r="J11" s="17">
        <f t="shared" si="0"/>
        <v>0.61440915134893725</v>
      </c>
      <c r="K11" s="18">
        <f t="shared" si="5"/>
        <v>6.4956810938149572E-4</v>
      </c>
      <c r="L11" s="6">
        <v>27.034002659353238</v>
      </c>
      <c r="M11" s="14">
        <f t="shared" si="9"/>
        <v>2.5088093486584927E-4</v>
      </c>
      <c r="N11" s="17">
        <f t="shared" si="7"/>
        <v>0.61440915134893725</v>
      </c>
      <c r="O11" s="18">
        <f t="shared" si="8"/>
        <v>2.2645375511975768E-4</v>
      </c>
    </row>
    <row r="12" spans="1:15" x14ac:dyDescent="0.2">
      <c r="A12" s="2" t="s">
        <v>11</v>
      </c>
      <c r="B12" s="5">
        <v>28</v>
      </c>
      <c r="C12" s="8"/>
      <c r="D12" s="14">
        <f t="shared" si="1"/>
        <v>0</v>
      </c>
      <c r="E12" s="17">
        <f t="shared" si="2"/>
        <v>0</v>
      </c>
      <c r="F12" s="18">
        <f t="shared" si="3"/>
        <v>0</v>
      </c>
      <c r="G12" s="23"/>
      <c r="H12" s="6"/>
      <c r="I12" s="14">
        <f t="shared" si="4"/>
        <v>0</v>
      </c>
      <c r="J12" s="17">
        <f t="shared" si="0"/>
        <v>0</v>
      </c>
      <c r="K12" s="18">
        <f t="shared" si="5"/>
        <v>0</v>
      </c>
      <c r="L12" s="6"/>
      <c r="M12" s="14">
        <f t="shared" si="9"/>
        <v>0</v>
      </c>
      <c r="N12" s="17">
        <f t="shared" si="7"/>
        <v>0</v>
      </c>
      <c r="O12" s="18">
        <f t="shared" si="8"/>
        <v>0</v>
      </c>
    </row>
    <row r="13" spans="1:15" x14ac:dyDescent="0.2">
      <c r="A13" s="3"/>
      <c r="B13" s="4"/>
      <c r="C13" s="9"/>
      <c r="D13" s="19">
        <f t="shared" si="1"/>
        <v>0</v>
      </c>
      <c r="E13" s="20"/>
      <c r="F13" s="21">
        <f t="shared" si="3"/>
        <v>0</v>
      </c>
      <c r="G13" s="25"/>
      <c r="H13" s="9"/>
      <c r="I13" s="14">
        <f t="shared" si="4"/>
        <v>0</v>
      </c>
      <c r="J13" s="17"/>
      <c r="K13" s="18">
        <f t="shared" si="5"/>
        <v>0</v>
      </c>
      <c r="L13" s="9"/>
      <c r="M13" s="14">
        <f t="shared" si="6"/>
        <v>0</v>
      </c>
      <c r="N13" s="17"/>
      <c r="O13" s="18">
        <f t="shared" si="8"/>
        <v>0</v>
      </c>
    </row>
    <row r="14" spans="1:15" x14ac:dyDescent="0.2">
      <c r="A14" s="2" t="s">
        <v>12</v>
      </c>
      <c r="B14" s="5"/>
      <c r="C14" s="8">
        <f>SUM(C3:C13)</f>
        <v>44685.141687141673</v>
      </c>
      <c r="D14" s="8">
        <f t="shared" ref="D14:F14" si="10">SUM(D3:D13)</f>
        <v>1</v>
      </c>
      <c r="E14" s="8">
        <f t="shared" si="10"/>
        <v>807.98210699959031</v>
      </c>
      <c r="F14" s="8">
        <f t="shared" si="10"/>
        <v>0.99999999999999978</v>
      </c>
      <c r="G14" s="8"/>
      <c r="H14" s="8">
        <f>SUM(H3:H13)</f>
        <v>27196.341845322655</v>
      </c>
      <c r="I14" s="8">
        <f t="shared" ref="I14" si="11">SUM(I3:I13)</f>
        <v>1</v>
      </c>
      <c r="J14" s="8">
        <f t="shared" ref="J14" si="12">SUM(J3:J13)</f>
        <v>945.87333102600121</v>
      </c>
      <c r="K14" s="8">
        <f t="shared" ref="K14" si="13">SUM(K3:K13)</f>
        <v>1</v>
      </c>
      <c r="L14" s="8">
        <f>SUM(L3:L13)</f>
        <v>107756.30549132331</v>
      </c>
      <c r="M14" s="8">
        <f t="shared" ref="M14:O14" si="14">SUM(M3:M13)</f>
        <v>1.0000000000000002</v>
      </c>
      <c r="N14" s="8">
        <f t="shared" si="14"/>
        <v>2713.1771386348328</v>
      </c>
      <c r="O14" s="8">
        <f t="shared" si="14"/>
        <v>1</v>
      </c>
    </row>
    <row r="15" spans="1:15" x14ac:dyDescent="0.2">
      <c r="A15" s="2" t="s">
        <v>13</v>
      </c>
      <c r="B15" s="4"/>
      <c r="C15" s="11">
        <v>5</v>
      </c>
      <c r="D15" s="11"/>
      <c r="E15" s="11"/>
      <c r="F15" s="11"/>
      <c r="G15" s="11"/>
      <c r="H15" s="11">
        <v>12</v>
      </c>
      <c r="I15" s="11"/>
    </row>
    <row r="16" spans="1:15" x14ac:dyDescent="0.2">
      <c r="A16" s="2" t="s">
        <v>14</v>
      </c>
      <c r="B16" s="4"/>
      <c r="C16" s="15">
        <v>60</v>
      </c>
      <c r="D16" s="15"/>
      <c r="E16" s="15"/>
      <c r="F16" s="15"/>
      <c r="G16" s="15"/>
      <c r="H16" s="15">
        <v>110</v>
      </c>
      <c r="I16" s="15"/>
    </row>
    <row r="17" spans="1:14" x14ac:dyDescent="0.2">
      <c r="A17" s="10"/>
      <c r="C17" s="15"/>
      <c r="D17" s="15"/>
      <c r="E17" s="15"/>
      <c r="F17" s="15"/>
      <c r="G17" s="15"/>
      <c r="H17" s="15"/>
      <c r="I17" s="15"/>
    </row>
    <row r="18" spans="1:14" x14ac:dyDescent="0.2">
      <c r="A18" s="10"/>
      <c r="B18" s="12"/>
      <c r="C18" s="15"/>
      <c r="D18" s="15"/>
      <c r="E18" s="15"/>
      <c r="F18" s="15"/>
      <c r="G18" s="15"/>
      <c r="H18" s="15"/>
      <c r="I18" s="15"/>
      <c r="L18" t="s">
        <v>40</v>
      </c>
      <c r="M18">
        <v>-191</v>
      </c>
      <c r="N18" t="s">
        <v>41</v>
      </c>
    </row>
    <row r="19" spans="1:14" x14ac:dyDescent="0.2">
      <c r="A19" s="10"/>
      <c r="B19" s="12" t="s">
        <v>35</v>
      </c>
      <c r="C19" s="13"/>
      <c r="D19" s="13" t="s">
        <v>36</v>
      </c>
      <c r="E19" s="13" t="s">
        <v>44</v>
      </c>
      <c r="F19" s="13" t="s">
        <v>38</v>
      </c>
      <c r="G19" s="13" t="s">
        <v>43</v>
      </c>
      <c r="H19" s="13"/>
      <c r="I19" s="13"/>
      <c r="M19">
        <f>M18/4.184*106</f>
        <v>-4838.910133843212</v>
      </c>
    </row>
    <row r="20" spans="1:14" x14ac:dyDescent="0.2">
      <c r="A20" s="10" t="s">
        <v>22</v>
      </c>
      <c r="B20" s="12">
        <v>195.84520024976152</v>
      </c>
      <c r="C20" s="15"/>
      <c r="D20" s="15">
        <v>160</v>
      </c>
      <c r="E20" s="15"/>
      <c r="F20" s="15">
        <v>141</v>
      </c>
      <c r="G20" s="15"/>
      <c r="H20" s="15"/>
      <c r="I20" s="15"/>
    </row>
    <row r="21" spans="1:14" x14ac:dyDescent="0.2">
      <c r="A21" s="10" t="s">
        <v>23</v>
      </c>
      <c r="B21" s="12">
        <v>12</v>
      </c>
      <c r="C21" s="11"/>
      <c r="D21" s="11">
        <v>12</v>
      </c>
      <c r="E21" s="11"/>
      <c r="F21" s="11">
        <v>12</v>
      </c>
      <c r="G21" s="11"/>
      <c r="H21" s="11"/>
      <c r="I21" s="11"/>
    </row>
    <row r="22" spans="1:14" x14ac:dyDescent="0.2">
      <c r="A22" s="10" t="s">
        <v>24</v>
      </c>
      <c r="B22" s="26">
        <f>J14</f>
        <v>945.87333102600121</v>
      </c>
      <c r="C22" s="11"/>
      <c r="D22" s="11">
        <f>B22</f>
        <v>945.87333102600121</v>
      </c>
      <c r="E22" s="11"/>
      <c r="F22" s="11">
        <f>D22</f>
        <v>945.87333102600121</v>
      </c>
      <c r="G22" s="11"/>
      <c r="H22" s="11"/>
      <c r="I22" s="11"/>
    </row>
    <row r="23" spans="1:14" x14ac:dyDescent="0.2">
      <c r="A23" s="10" t="s">
        <v>26</v>
      </c>
      <c r="B23" s="23">
        <f>(EXP((18.36-(3840.96/(B20+228.3))))/760)/B21*F7</f>
        <v>0.22573001087505226</v>
      </c>
      <c r="C23" s="11"/>
      <c r="D23" s="23">
        <f>(EXP((18.36-(3840.96/(D20+228.3))))/760)/D21*((B27/18)/(B27/18+B26/60))</f>
        <v>0.33316897076631952</v>
      </c>
      <c r="E23" s="11"/>
      <c r="F23" s="23">
        <f>(EXP((18.36-(3840.96/(F20+228.3))))/760)/F21*((E27/18)/(E27/18+E26/60))</f>
        <v>0.13513315776054066</v>
      </c>
      <c r="G23" s="11"/>
      <c r="H23" s="11"/>
      <c r="I23" s="11"/>
    </row>
    <row r="24" spans="1:14" x14ac:dyDescent="0.2">
      <c r="A24" s="10" t="s">
        <v>27</v>
      </c>
      <c r="B24" s="23">
        <f>(EXP(19.32-(5495/(B20+314.75))))/760/B21*F6</f>
        <v>0.42661115700261554</v>
      </c>
      <c r="C24" s="11"/>
      <c r="D24" s="23">
        <f>(EXP(19.32-(5495/(D20+314.75))))/760/D21*((B26/60)/(B27/18+B26/60))</f>
        <v>9.1691583051302955E-2</v>
      </c>
      <c r="E24" s="11"/>
      <c r="F24" s="23">
        <f>(EXP(19.32-(5495/(F20+314.75))))/760/F21*((D26/60)/(D27/18+D26/60))</f>
        <v>8.1575410329627285E-2</v>
      </c>
      <c r="G24" s="11"/>
      <c r="H24" s="11"/>
      <c r="I24" s="11"/>
    </row>
    <row r="25" spans="1:14" x14ac:dyDescent="0.2">
      <c r="A25" s="10" t="s">
        <v>25</v>
      </c>
      <c r="B25">
        <f>J14/(1-B23-B24)</f>
        <v>2720.6940932631701</v>
      </c>
      <c r="C25" s="15"/>
      <c r="D25" s="15">
        <f>D22/(1-D23-D24)</f>
        <v>1644.5982575259902</v>
      </c>
      <c r="E25" s="15"/>
      <c r="F25" s="15">
        <f>B22/(1-F23-F24)</f>
        <v>1207.5624633346999</v>
      </c>
      <c r="G25" s="15"/>
      <c r="H25" s="15"/>
      <c r="I25" s="15"/>
    </row>
    <row r="26" spans="1:14" x14ac:dyDescent="0.2">
      <c r="A26" s="10" t="s">
        <v>28</v>
      </c>
      <c r="B26">
        <f>B25*B24</f>
        <v>1160.678454977183</v>
      </c>
      <c r="C26" s="11">
        <f>B26*B6</f>
        <v>69640.707298630979</v>
      </c>
      <c r="D26" s="11">
        <f>D25*D23</f>
        <v>547.92910878401665</v>
      </c>
      <c r="E26" s="11">
        <f>C26-D26*B6</f>
        <v>36764.960771589984</v>
      </c>
      <c r="F26" s="11">
        <f>F25*F24</f>
        <v>98.507403445183655</v>
      </c>
      <c r="G26" s="11">
        <f>F26*60</f>
        <v>5910.4442067110194</v>
      </c>
      <c r="H26" s="11"/>
      <c r="I26" s="11"/>
    </row>
    <row r="27" spans="1:14" x14ac:dyDescent="0.2">
      <c r="A27" s="10" t="s">
        <v>6</v>
      </c>
      <c r="B27">
        <f>B25*B23</f>
        <v>614.14230725998584</v>
      </c>
      <c r="C27" s="11">
        <f>B27*B7</f>
        <v>11054.561530679744</v>
      </c>
      <c r="D27" s="11">
        <f>D25*D24</f>
        <v>150.79581771597245</v>
      </c>
      <c r="E27" s="11">
        <f>C27-D27*B7</f>
        <v>8340.2368117922415</v>
      </c>
      <c r="F27" s="11">
        <f>F25*F23</f>
        <v>163.1817288635151</v>
      </c>
      <c r="G27" s="11">
        <f>F27*18</f>
        <v>2937.2711195432721</v>
      </c>
      <c r="H27" s="11"/>
      <c r="I27" s="11"/>
    </row>
    <row r="28" spans="1:14" x14ac:dyDescent="0.2">
      <c r="A28" s="10"/>
      <c r="C28" s="11"/>
      <c r="D28" s="11"/>
      <c r="E28" s="11"/>
      <c r="F28" s="11"/>
      <c r="G28" s="11"/>
      <c r="H28" s="11"/>
      <c r="I28" s="11"/>
    </row>
    <row r="29" spans="1:14" x14ac:dyDescent="0.2">
      <c r="A29" s="10" t="s">
        <v>29</v>
      </c>
      <c r="B29" s="27">
        <f>C8*2672.89+C8/106*166*35*10*1.15</f>
        <v>17809779.520794377</v>
      </c>
      <c r="C29" s="11"/>
      <c r="D29" s="11"/>
      <c r="E29" s="11"/>
      <c r="F29" s="11"/>
      <c r="G29" s="11"/>
      <c r="H29" s="11"/>
      <c r="I29" s="11"/>
    </row>
    <row r="30" spans="1:14" x14ac:dyDescent="0.2">
      <c r="A30" s="10" t="s">
        <v>34</v>
      </c>
      <c r="B30" s="27">
        <f>C8/106*166*65/1000/60*875/4.182*1000</f>
        <v>1913856.5042586355</v>
      </c>
      <c r="C30" s="11"/>
      <c r="D30" s="11"/>
      <c r="E30" s="11"/>
      <c r="F30" s="11"/>
      <c r="G30" s="11"/>
      <c r="H30" s="11"/>
      <c r="I30" s="11"/>
    </row>
    <row r="31" spans="1:14" x14ac:dyDescent="0.2">
      <c r="A31" s="10" t="s">
        <v>30</v>
      </c>
      <c r="B31" s="27">
        <f>C6*(B20-C16)+C7*(B20-C16)</f>
        <v>5289656.6994911665</v>
      </c>
      <c r="C31" s="11"/>
      <c r="D31" s="11"/>
      <c r="E31" s="11"/>
      <c r="F31" s="11"/>
      <c r="G31" s="11"/>
      <c r="H31" s="11"/>
      <c r="I31" s="11"/>
    </row>
    <row r="32" spans="1:14" x14ac:dyDescent="0.2">
      <c r="A32" s="10" t="s">
        <v>31</v>
      </c>
      <c r="B32" s="27">
        <f>H14*0.23*(B20-H16)</f>
        <v>536975.34470771917</v>
      </c>
      <c r="C32" s="11"/>
      <c r="D32" s="11"/>
      <c r="E32" s="11"/>
      <c r="F32" s="11"/>
      <c r="G32" s="11"/>
      <c r="H32" s="11"/>
      <c r="I32" s="11"/>
    </row>
    <row r="33" spans="1:9" x14ac:dyDescent="0.2">
      <c r="A33" s="10" t="s">
        <v>32</v>
      </c>
      <c r="B33" s="27">
        <f>C26*90+C27*500</f>
        <v>11794944.422216661</v>
      </c>
      <c r="C33" s="11"/>
      <c r="D33" s="11"/>
      <c r="E33" s="11"/>
      <c r="F33" s="11"/>
      <c r="G33" s="11"/>
      <c r="H33" s="11"/>
      <c r="I33" s="11"/>
    </row>
    <row r="34" spans="1:9" x14ac:dyDescent="0.2">
      <c r="A34" s="10" t="s">
        <v>37</v>
      </c>
      <c r="B34" s="27">
        <f>(E26+E27)*(B20-D20)</f>
        <v>1616804.8396813951</v>
      </c>
      <c r="C34" s="11"/>
      <c r="D34" s="11"/>
      <c r="E34" s="11"/>
      <c r="F34" s="11"/>
      <c r="G34" s="11"/>
      <c r="H34" s="11"/>
      <c r="I34" s="11"/>
    </row>
    <row r="35" spans="1:9" x14ac:dyDescent="0.2">
      <c r="A35" s="10" t="s">
        <v>39</v>
      </c>
      <c r="B35" s="27">
        <f>(G26+G27)*(B20-F20)</f>
        <v>485254.71882130072</v>
      </c>
      <c r="C35" s="11"/>
      <c r="D35" s="11"/>
      <c r="E35" s="11"/>
      <c r="F35" s="11"/>
      <c r="G35" s="11"/>
      <c r="H35" s="11"/>
      <c r="I35" s="11"/>
    </row>
    <row r="36" spans="1:9" x14ac:dyDescent="0.2">
      <c r="A36" s="10" t="s">
        <v>33</v>
      </c>
      <c r="B36" s="28">
        <f>B29+B30-B31-B32-B33-B34-B35</f>
        <v>1.3477046741172671E-4</v>
      </c>
      <c r="C36" s="11"/>
      <c r="D36" s="11"/>
      <c r="E36" s="11"/>
      <c r="F36" s="11"/>
      <c r="G36" s="11"/>
      <c r="H36" s="11"/>
      <c r="I36" s="11"/>
    </row>
    <row r="37" spans="1:9" x14ac:dyDescent="0.2">
      <c r="A37" s="10" t="s">
        <v>42</v>
      </c>
      <c r="C37" s="11"/>
      <c r="D37" s="11"/>
      <c r="E37" s="11"/>
      <c r="F37" s="11"/>
      <c r="G37" s="11"/>
      <c r="H37" s="11"/>
      <c r="I37" s="11"/>
    </row>
    <row r="38" spans="1:9" x14ac:dyDescent="0.2">
      <c r="A38" s="10"/>
      <c r="C38" s="11"/>
      <c r="D38" s="11"/>
      <c r="E38" s="11"/>
      <c r="F38" s="11"/>
      <c r="G38" s="11"/>
      <c r="H38" s="11"/>
      <c r="I3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Carimati</dc:creator>
  <cp:lastModifiedBy>alberto carimati</cp:lastModifiedBy>
  <dcterms:created xsi:type="dcterms:W3CDTF">2025-12-07T07:51:48Z</dcterms:created>
  <dcterms:modified xsi:type="dcterms:W3CDTF">2025-12-08T00:19:42Z</dcterms:modified>
</cp:coreProperties>
</file>